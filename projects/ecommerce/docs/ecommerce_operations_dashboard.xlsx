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ka\Desktop\Ecommerce-Order-Analytics\Excel\"/>
    </mc:Choice>
  </mc:AlternateContent>
  <xr:revisionPtr revIDLastSave="0" documentId="13_ncr:1_{D3620660-85C4-4B93-9502-FF9A56266F27}" xr6:coauthVersionLast="47" xr6:coauthVersionMax="47" xr10:uidLastSave="{00000000-0000-0000-0000-000000000000}"/>
  <bookViews>
    <workbookView xWindow="-110" yWindow="-110" windowWidth="19420" windowHeight="10300" firstSheet="3" activeTab="4" xr2:uid="{F3A5C5DA-43BE-4D3E-A423-2E5C089C51B1}"/>
  </bookViews>
  <sheets>
    <sheet name="Carrier_Performance" sheetId="4" r:id="rId1"/>
    <sheet name="Monthly_Trends" sheetId="3" r:id="rId2"/>
    <sheet name="Stage_Cycle_Time" sheetId="5" r:id="rId3"/>
    <sheet name="KPI_Data" sheetId="2" r:id="rId4"/>
    <sheet name="Dashboard" sheetId="1" r:id="rId5"/>
  </sheets>
  <definedNames>
    <definedName name="ExternalData_1" localSheetId="3" hidden="1">KPI_Data!$A$1:$I$2</definedName>
    <definedName name="ExternalData_2" localSheetId="1" hidden="1">Monthly_Trends!$A$1:$G$14</definedName>
    <definedName name="ExternalData_2" localSheetId="2" hidden="1">Stage_Cycle_Time!$A$1:$C$5</definedName>
    <definedName name="ExternalData_3" localSheetId="0" hidden="1">'Carrier_Performance'!$A$1:$F$5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H3" i="1" a="1"/>
  <c r="H3" i="1" s="1"/>
  <c r="D3" i="1" a="1"/>
  <c r="D3" i="1" s="1"/>
  <c r="B3" i="1" a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42EE1-9491-4B58-8307-7FE8269876B6}" keepAlive="1" name="Query - Carrier_Performance" description="Connection to the 'Carrier_Performance' query in the workbook." type="5" refreshedVersion="8" background="1" saveData="1">
    <dbPr connection="Provider=Microsoft.Mashup.OleDb.1;Data Source=$Workbook$;Location=Carrier_Performance;Extended Properties=&quot;&quot;" command="SELECT * FROM [Carrier_Performance]"/>
  </connection>
  <connection id="2" xr16:uid="{7BC62192-B712-4850-90C7-0E1A383E2FFE}" keepAlive="1" name="Query - KPI_Data" description="Connection to the 'KPI_Data' query in the workbook." type="5" refreshedVersion="8" background="1" saveData="1">
    <dbPr connection="Provider=Microsoft.Mashup.OleDb.1;Data Source=$Workbook$;Location=KPI_Data;Extended Properties=&quot;&quot;" command="SELECT * FROM [KPI_Data]"/>
  </connection>
  <connection id="3" xr16:uid="{99850A8B-1B3E-4277-8DB7-933F5F19E345}" keepAlive="1" name="Query - Monthly_Trends" description="Connection to the 'Monthly_Trends' query in the workbook." type="5" refreshedVersion="8" background="1" saveData="1">
    <dbPr connection="Provider=Microsoft.Mashup.OleDb.1;Data Source=$Workbook$;Location=Monthly_Trends;Extended Properties=&quot;&quot;" command="SELECT * FROM [Monthly_Trends]"/>
  </connection>
  <connection id="4" xr16:uid="{04E79AA2-53CA-4F31-9B36-FEB2781F2E6F}" keepAlive="1" name="Query - Stage_Cycle_Time" description="Connection to the 'Stage_Cycle_Time' query in the workbook." type="5" refreshedVersion="8" background="1" saveData="1">
    <dbPr connection="Provider=Microsoft.Mashup.OleDb.1;Data Source=$Workbook$;Location=Stage_Cycle_Time;Extended Properties=&quot;&quot;" command="SELECT * FROM [Stage_Cycle_Tim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<sst xmlns="http://schemas.openxmlformats.org/spreadsheetml/2006/main" count="37" uniqueCount="34">
  <si>
    <t>total_orders</t>
  </si>
  <si>
    <t>confirmed_orders</t>
  </si>
  <si>
    <t>cancel_rate_pct</t>
  </si>
  <si>
    <t>total_payments</t>
  </si>
  <si>
    <t>payment_success_rate_pct</t>
  </si>
  <si>
    <t>total_shipments</t>
  </si>
  <si>
    <t>avg_delivery_days</t>
  </si>
  <si>
    <t>on_time_delivery_pct</t>
  </si>
  <si>
    <t>delayed_shipments_pct</t>
  </si>
  <si>
    <t>month_start</t>
  </si>
  <si>
    <t>orders_placed</t>
  </si>
  <si>
    <t>orders_cancelled</t>
  </si>
  <si>
    <t>payment_failed_orders</t>
  </si>
  <si>
    <t>payment_success_orders</t>
  </si>
  <si>
    <t>delayed_shipments</t>
  </si>
  <si>
    <t>carrier_name</t>
  </si>
  <si>
    <t>shipments</t>
  </si>
  <si>
    <t>on_time_pct</t>
  </si>
  <si>
    <t>avg_delay_days</t>
  </si>
  <si>
    <t>DHL</t>
  </si>
  <si>
    <t>UPS</t>
  </si>
  <si>
    <t>USPS</t>
  </si>
  <si>
    <t>FedEx</t>
  </si>
  <si>
    <t>stage_transition</t>
  </si>
  <si>
    <t>avg_hours</t>
  </si>
  <si>
    <t>transitions_count</t>
  </si>
  <si>
    <t>IN_TRANSIT → OUT_FOR_DELIVERY</t>
  </si>
  <si>
    <t>SHIPPED → IN_TRANSIT</t>
  </si>
  <si>
    <t>PACKED → SHIPPED</t>
  </si>
  <si>
    <t>OUT_FOR_DELIVERY → DELIVERED</t>
  </si>
  <si>
    <t>Total Orders</t>
  </si>
  <si>
    <t>Payment Success %</t>
  </si>
  <si>
    <t>Avg Delivery Days</t>
  </si>
  <si>
    <t>On-Time Delivery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</si>
</sst>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'Carrier_Performance'!$D$1</c:f>
              <c:strCache>
                <c:ptCount val="1"/>
                <c:pt idx="0">
                  <c:v>on_time_pct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'Carrier_Performance'!$A$2:$A$5</c:f>
              <c:strCache>
                <c:ptCount val="4"/>
                <c:pt idx="0">
                  <c:v>DHL</c:v>
                </c:pt>
                <c:pt idx="1">
                  <c:v>UPS</c:v>
                </c:pt>
                <c:pt idx="2">
                  <c:v>USPS</c:v>
                </c:pt>
                <c:pt idx="3">
                  <c:v>FedEx</c:v>
                </c:pt>
              </c:strCache>
            </c:strRef>
          </c:cat>
          <c:val>
            <c:numRef>
              <c:f>'Carrier_Performance'!$D$2:$D$5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F-4660-B795-B4354755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057376"/>
        <c:axId val="1363057856"/>
      </c:barChart>
      <c:catAx>
        <c:axId val="136305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7856"/>
        <c:crosses val="autoZero"/>
        <c:auto val="1"/>
        <c:lblAlgn val="ctr"/>
        <c:lblOffset val="100"/>
        <c:noMultiLvlLbl val="0"/>
      </c:catAx>
      <c:valAx>
        <c:axId val="13630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Stage_Cycle_Time!$B$1</c:f>
              <c:strCache>
                <c:ptCount val="1"/>
                <c:pt idx="0">
                  <c:v>avg_hours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Stage_Cycle_Time!$A$2:$A$5</c:f>
              <c:strCache>
                <c:ptCount val="4"/>
                <c:pt idx="0">
                  <c:v>IN_TRANSIT → OUT_FOR_DELIVERY</c:v>
                </c:pt>
                <c:pt idx="1">
                  <c:v>SHIPPED → IN_TRANSIT</c:v>
                </c:pt>
                <c:pt idx="2">
                  <c:v>PACKED → SHIPPED</c:v>
                </c:pt>
                <c:pt idx="3">
                  <c:v>OUT_FOR_DELIVERY → DELIVERED</c:v>
                </c:pt>
              </c:strCache>
            </c:strRef>
          </c:cat>
          <c:val>
            <c:numRef>
              <c:f>Stage_Cycle_Time!$B$2:$B$5</c:f>
              <c:numCache>
                <c:formatCode>General</c:formatCode>
                <c:ptCount val="4"/>
                <c:pt idx="0">
                  <c:v>62.34</c:v>
                </c:pt>
                <c:pt idx="1">
                  <c:v>24</c:v>
                </c:pt>
                <c:pt idx="2">
                  <c:v>23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45B-B88B-0C3BE608F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2956096"/>
        <c:axId val="1362948896"/>
      </c:barChart>
      <c:catAx>
        <c:axId val="136295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48896"/>
        <c:crosses val="autoZero"/>
        <c:auto val="1"/>
        <c:lblAlgn val="ctr"/>
        <c:lblOffset val="100"/>
        <c:noMultiLvlLbl val="0"/>
      </c:catAx>
      <c:valAx>
        <c:axId val="13629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5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Orders Trend Over Time</a:t>
            </a:r>
          </a:p>
        </c:rich>
      </c:tx>
      <c:layout>
        <c:manualLayout>
          <c:xMode val="edge"/>
          <c:yMode val="edge"/>
          <c:x val="0.16054186775040219"/>
          <c:y val="6.023786775607023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Monthly_Trends!$B$1</c:f>
              <c:strCache>
                <c:ptCount val="1"/>
                <c:pt idx="0">
                  <c:v>orders_placed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Monthly_Trends!$A$2:$A$14</c:f>
              <c:numCache>
                <c:formatCode>m/d/yyyy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</c:numCache>
            </c:numRef>
          </c:cat>
          <c:val>
            <c:numRef>
              <c:f>Monthly_Trends!$B$2:$B$14</c:f>
              <c:numCache>
                <c:formatCode>General</c:formatCode>
                <c:ptCount val="13"/>
                <c:pt idx="0">
                  <c:v>403</c:v>
                </c:pt>
                <c:pt idx="1">
                  <c:v>364</c:v>
                </c:pt>
                <c:pt idx="2">
                  <c:v>374</c:v>
                </c:pt>
                <c:pt idx="3">
                  <c:v>360</c:v>
                </c:pt>
                <c:pt idx="4">
                  <c:v>372</c:v>
                </c:pt>
                <c:pt idx="5">
                  <c:v>360</c:v>
                </c:pt>
                <c:pt idx="6">
                  <c:v>375</c:v>
                </c:pt>
                <c:pt idx="7">
                  <c:v>403</c:v>
                </c:pt>
                <c:pt idx="8">
                  <c:v>390</c:v>
                </c:pt>
                <c:pt idx="9">
                  <c:v>403</c:v>
                </c:pt>
                <c:pt idx="10">
                  <c:v>390</c:v>
                </c:pt>
                <c:pt idx="11">
                  <c:v>403</c:v>
                </c:pt>
                <c:pt idx="12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9-40C8-B27E-4E85ABA2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017056"/>
        <c:axId val="1363006976"/>
      </c:lineChart>
      <c:dateAx>
        <c:axId val="1363017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06976"/>
        <c:crosses val="autoZero"/>
        <c:auto val="1"/>
        <c:lblOffset val="100"/>
        <c:baseTimeUnit val="months"/>
      </c:dateAx>
      <c:valAx>
        <c:axId val="13630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1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On-Time Delivery % by Carrier</a:t>
            </a:r>
          </a:p>
        </c:rich>
      </c:tx>
      <c:layout>
        <c:manualLayout>
          <c:xMode val="edge"/>
          <c:yMode val="edge"/>
          <c:x val="0.15762162162162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'Carrier_Performance'!$D$1</c:f>
              <c:strCache>
                <c:ptCount val="1"/>
                <c:pt idx="0">
                  <c:v>on_time_pct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'Carrier_Performance'!$A$2:$A$5</c:f>
              <c:strCache>
                <c:ptCount val="4"/>
                <c:pt idx="0">
                  <c:v>DHL</c:v>
                </c:pt>
                <c:pt idx="1">
                  <c:v>UPS</c:v>
                </c:pt>
                <c:pt idx="2">
                  <c:v>USPS</c:v>
                </c:pt>
                <c:pt idx="3">
                  <c:v>FedEx</c:v>
                </c:pt>
              </c:strCache>
            </c:strRef>
          </c:cat>
          <c:val>
            <c:numRef>
              <c:f>'Carrier_Performance'!$D$2:$D$5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9-4ADB-B140-C5059B224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057376"/>
        <c:axId val="1363057856"/>
      </c:barChart>
      <c:catAx>
        <c:axId val="1363057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7856"/>
        <c:crosses val="autoZero"/>
        <c:auto val="1"/>
        <c:lblAlgn val="ctr"/>
        <c:lblOffset val="100"/>
        <c:noMultiLvlLbl val="0"/>
      </c:catAx>
      <c:valAx>
        <c:axId val="13630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On-Time Delivery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Delivery Process Bottlenecks (Avg Hours)</a:t>
            </a:r>
          </a:p>
        </c:rich>
      </c:tx>
      <c:layout>
        <c:manualLayout>
          <c:xMode val="edge"/>
          <c:yMode val="edge"/>
          <c:x val="0.126404087786898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Stage_Cycle_Time!$B$1</c:f>
              <c:strCache>
                <c:ptCount val="1"/>
                <c:pt idx="0">
                  <c:v>avg_hours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Stage_Cycle_Time!$A$2:$A$5</c:f>
              <c:strCache>
                <c:ptCount val="4"/>
                <c:pt idx="0">
                  <c:v>IN_TRANSIT → OUT_FOR_DELIVERY</c:v>
                </c:pt>
                <c:pt idx="1">
                  <c:v>SHIPPED → IN_TRANSIT</c:v>
                </c:pt>
                <c:pt idx="2">
                  <c:v>PACKED → SHIPPED</c:v>
                </c:pt>
                <c:pt idx="3">
                  <c:v>OUT_FOR_DELIVERY → DELIVERED</c:v>
                </c:pt>
              </c:strCache>
            </c:strRef>
          </c:cat>
          <c:val>
            <c:numRef>
              <c:f>Stage_Cycle_Time!$B$2:$B$5</c:f>
              <c:numCache>
                <c:formatCode>General</c:formatCode>
                <c:ptCount val="4"/>
                <c:pt idx="0">
                  <c:v>62.34</c:v>
                </c:pt>
                <c:pt idx="1">
                  <c:v>24</c:v>
                </c:pt>
                <c:pt idx="2">
                  <c:v>23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3-4428-86D6-ADE2AC8A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2956096"/>
        <c:axId val="1362948896"/>
      </c:barChart>
      <c:catAx>
        <c:axId val="136295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48896"/>
        <c:crosses val="autoZero"/>
        <c:auto val="1"/>
        <c:lblAlgn val="ctr"/>
        <c:lblOffset val="100"/>
        <c:noMultiLvlLbl val="0"/>
      </c:catAx>
      <c:valAx>
        <c:axId val="13629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Hours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5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CC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1</xdr:row>
      <xdr:rowOff>101600</xdr:rowOff>
    </xdr:from>
    <xdr:to>
      <xdr:col>3</xdr:col>
      <xdr:colOff>482600</xdr:colOff>
      <xdr:row>11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1D271-28B3-A0E5-AAC9-064F14C69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765175</xdr:colOff>
      <xdr:row>1</xdr:row>
      <xdr:rowOff>82550</xdr:rowOff>
    </xdr:from>
    <xdr:to>
      <xdr:col>5</xdr:col>
      <xdr:colOff>60325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A382BA-5E37-B142-DE6A-EF0480C47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101600</xdr:rowOff>
    </xdr:from>
    <xdr:to>
      <xdr:col>4</xdr:col>
      <xdr:colOff>457200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C76A0-2C61-447F-9D7B-45543F498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558800</xdr:colOff>
      <xdr:row>3</xdr:row>
      <xdr:rowOff>120650</xdr:rowOff>
    </xdr:from>
    <xdr:to>
      <xdr:col>8</xdr:col>
      <xdr:colOff>6350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4E8B3-FB22-4DFE-893D-E7C5AC8B6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285750</xdr:colOff>
      <xdr:row>15</xdr:row>
      <xdr:rowOff>146050</xdr:rowOff>
    </xdr:from>
    <xdr:to>
      <xdr:col>7</xdr:col>
      <xdr:colOff>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951839-BC6D-44BB-AC0B-D938EC90A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E9325AC-9837-45FA-8A20-CA79433B9640}" autoFormatId="16" applyNumberFormats="0" applyBorderFormats="0" applyFontFormats="0" applyPatternFormats="0" applyAlignmentFormats="0" applyWidthHeightFormats="0">
  <queryTableRefresh nextId="7">
    <queryTableFields count="6">
      <queryTableField id="1" name="carrier_name" tableColumnId="1"/>
      <queryTableField id="2" name="shipments" tableColumnId="2"/>
      <queryTableField id="3" name="avg_delivery_days" tableColumnId="3"/>
      <queryTableField id="4" name="on_time_pct" tableColumnId="4"/>
      <queryTableField id="5" name="avg_delay_days" tableColumnId="5"/>
      <queryTableField id="6" name="delayed_shipment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24B205C-A491-4152-A27A-8EA313B665E8}" autoFormatId="16" applyNumberFormats="0" applyBorderFormats="0" applyFontFormats="0" applyPatternFormats="0" applyAlignmentFormats="0" applyWidthHeightFormats="0">
  <queryTableRefresh nextId="8">
    <queryTableFields count="7">
      <queryTableField id="1" name="month_start" tableColumnId="1"/>
      <queryTableField id="2" name="orders_placed" tableColumnId="2"/>
      <queryTableField id="3" name="orders_cancelled" tableColumnId="3"/>
      <queryTableField id="4" name="payment_failed_orders" tableColumnId="4"/>
      <queryTableField id="5" name="payment_success_orders" tableColumnId="5"/>
      <queryTableField id="6" name="avg_delivery_days" tableColumnId="6"/>
      <queryTableField id="7" name="delayed_shipmen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A98197B-94D2-4FF7-997D-2DC183DF4CED}" autoFormatId="16" applyNumberFormats="0" applyBorderFormats="0" applyFontFormats="0" applyPatternFormats="0" applyAlignmentFormats="0" applyWidthHeightFormats="0">
  <queryTableRefresh nextId="4">
    <queryTableFields count="3">
      <queryTableField id="1" name="stage_transition" tableColumnId="1"/>
      <queryTableField id="2" name="avg_hours" tableColumnId="2"/>
      <queryTableField id="3" name="transitions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7BE506-E7D1-4049-88FF-0429D7FC32C1}" autoFormatId="16" applyNumberFormats="0" applyBorderFormats="0" applyFontFormats="0" applyPatternFormats="0" applyAlignmentFormats="0" applyWidthHeightFormats="0">
  <queryTableRefresh nextId="10">
    <queryTableFields count="9">
      <queryTableField id="1" name="total_orders" tableColumnId="1"/>
      <queryTableField id="2" name="confirmed_orders" tableColumnId="2"/>
      <queryTableField id="3" name="cancel_rate_pct" tableColumnId="3"/>
      <queryTableField id="4" name="total_payments" tableColumnId="4"/>
      <queryTableField id="5" name="payment_success_rate_pct" tableColumnId="5"/>
      <queryTableField id="6" name="total_shipments" tableColumnId="6"/>
      <queryTableField id="7" name="avg_delivery_days" tableColumnId="7"/>
      <queryTableField id="8" name="on_time_delivery_pct" tableColumnId="8"/>
      <queryTableField id="9" name="delayed_shipments_pc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86F26F-85DC-4BA8-8BFE-FDDCD6991253}" name="Carrier_Performance" displayName="Carrier_Performance" ref="A1:F5" tableType="queryTable" totalsRowShown="0">
  <autoFilter ref="A1:F5" xr:uid="{A386F26F-85DC-4BA8-8BFE-FDDCD6991253}"/>
  <tableColumns count="6">
    <tableColumn id="1" xr3:uid="{7B447D3A-5B0C-4D22-89B2-1E16E3B7A942}" uniqueName="1" name="carrier_name" queryTableFieldId="1" dataDxfId="1"/>
    <tableColumn id="2" xr3:uid="{6941D8A5-60ED-476D-92B1-F8C51A5ADE4F}" uniqueName="2" name="shipments" queryTableFieldId="2"/>
    <tableColumn id="3" xr3:uid="{4D1D8226-903E-4235-97E4-B4B2076DA810}" uniqueName="3" name="avg_delivery_days" queryTableFieldId="3"/>
    <tableColumn id="4" xr3:uid="{0BA8B21A-6D00-45F8-9A25-2D4AF31A081D}" uniqueName="4" name="on_time_pct" queryTableFieldId="4"/>
    <tableColumn id="5" xr3:uid="{7DCC793B-B612-46FD-A0EF-CAFFF69EAA6D}" uniqueName="5" name="avg_delay_days" queryTableFieldId="5"/>
    <tableColumn id="6" xr3:uid="{EAFBE84A-EBC5-4E19-B2B7-BFEE045B4E24}" uniqueName="6" name="delayed_shipments" queryTableFieldId="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303DEC-7030-4CF8-A8AB-A31ECA7D88EF}" name="Monthly_Trends" displayName="Monthly_Trends" ref="A1:G14" tableType="queryTable" totalsRowShown="0">
  <autoFilter ref="A1:G14" xr:uid="{0D303DEC-7030-4CF8-A8AB-A31ECA7D88EF}"/>
  <tableColumns count="7">
    <tableColumn id="1" xr3:uid="{D78F9703-93A0-4077-A907-20A4476E36A7}" uniqueName="1" name="month_start" queryTableFieldId="1" dataDxfId="2"/>
    <tableColumn id="2" xr3:uid="{15C29432-8B7E-49F6-A036-A86EEC1EF69B}" uniqueName="2" name="orders_placed" queryTableFieldId="2"/>
    <tableColumn id="3" xr3:uid="{2EC022A9-06B3-4F72-9ECA-A37540707650}" uniqueName="3" name="orders_cancelled" queryTableFieldId="3"/>
    <tableColumn id="4" xr3:uid="{0B10E045-7F21-4998-BB8B-3F7EAD80DEC2}" uniqueName="4" name="payment_failed_orders" queryTableFieldId="4"/>
    <tableColumn id="5" xr3:uid="{8F577318-35D4-4FE7-95E2-F898D2DFD3F6}" uniqueName="5" name="payment_success_orders" queryTableFieldId="5"/>
    <tableColumn id="6" xr3:uid="{61F8C369-A30B-4FC9-93F1-102DF533C325}" uniqueName="6" name="avg_delivery_days" queryTableFieldId="6"/>
    <tableColumn id="7" xr3:uid="{861E7A43-BC61-4D1D-A4D8-B446EBF75EC8}" uniqueName="7" name="delayed_shipments" queryTableFieldId="7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1C8865-F709-4F19-AED3-F8D7D61606DD}" name="Stage_Cycle_Time" displayName="Stage_Cycle_Time" ref="A1:C5" tableType="queryTable" totalsRowShown="0">
  <autoFilter ref="A1:C5" xr:uid="{E41C8865-F709-4F19-AED3-F8D7D61606DD}"/>
  <tableColumns count="3">
    <tableColumn id="1" xr3:uid="{3BDCE9B7-259D-4320-BD35-EA14598D9577}" uniqueName="1" name="stage_transition" queryTableFieldId="1" dataDxfId="0"/>
    <tableColumn id="2" xr3:uid="{C636BA15-166A-4379-8F6C-8ECD3108AF2A}" uniqueName="2" name="avg_hours" queryTableFieldId="2"/>
    <tableColumn id="3" xr3:uid="{46BE9BE8-06A7-4CCF-85FC-508854B0F058}" uniqueName="3" name="transitions_count" queryTableFieldId="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790C0-9B49-46E6-960E-3A1B0BB59452}" name="KPI_Data" displayName="KPI_Data" ref="A1:I2" tableType="queryTable" totalsRowShown="0">
  <autoFilter ref="A1:I2" xr:uid="{93E790C0-9B49-46E6-960E-3A1B0BB59452}"/>
  <tableColumns count="9">
    <tableColumn id="1" xr3:uid="{8799E3F6-61A4-4F23-A4D9-3C602664588C}" uniqueName="1" name="total_orders" queryTableFieldId="1"/>
    <tableColumn id="2" xr3:uid="{C9089214-16A4-46A9-A9E3-0094B7888DBD}" uniqueName="2" name="confirmed_orders" queryTableFieldId="2"/>
    <tableColumn id="3" xr3:uid="{0F6E91C3-897A-4916-9212-ADF2AB68FDC3}" uniqueName="3" name="cancel_rate_pct" queryTableFieldId="3"/>
    <tableColumn id="4" xr3:uid="{BC48FA32-AEB2-4421-989B-FBF3C4AD5C4D}" uniqueName="4" name="total_payments" queryTableFieldId="4"/>
    <tableColumn id="5" xr3:uid="{8F8B4CBE-4EF2-4DCB-BBCE-E0846AF54159}" uniqueName="5" name="payment_success_rate_pct" queryTableFieldId="5"/>
    <tableColumn id="6" xr3:uid="{9833A0FB-15A3-414C-A4B4-0C32B5777D7B}" uniqueName="6" name="total_shipments" queryTableFieldId="6"/>
    <tableColumn id="7" xr3:uid="{A71BDB19-D07D-41F2-BB74-D6B43B06FBFA}" uniqueName="7" name="avg_delivery_days" queryTableFieldId="7"/>
    <tableColumn id="8" xr3:uid="{C8F0BDB3-4E00-42E3-A2DC-766C1E39ACA0}" uniqueName="8" name="on_time_delivery_pct" queryTableFieldId="8"/>
    <tableColumn id="9" xr3:uid="{DA4B8FE1-3B52-4755-BA62-FBEAA193D72A}" uniqueName="9" name="delayed_shipments_pct" queryTableFieldId="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D785-E506-4A78-BEB4-4F2E7E62968D}">
  <dimension ref="A1:F5"/>
  <sheetViews>
    <sheetView workbookViewId="0">
      <selection activeCell="D1" activeCellId="1" sqref="A1:A1048576 D1:D1048576"/>
    </sheetView>
  </sheetViews>
  <sheetFormatPr defaultRowHeight="14.5" x14ac:dyDescent="0.35"/>
  <cols>
    <col min="1" max="1" width="14.08984375" bestFit="1" customWidth="1"/>
    <col min="2" max="2" width="12" bestFit="1" customWidth="1"/>
    <col min="3" max="3" width="18.1796875" bestFit="1" customWidth="1"/>
    <col min="4" max="4" width="13.36328125" bestFit="1" customWidth="1"/>
    <col min="5" max="5" width="16.08984375" bestFit="1" customWidth="1"/>
    <col min="6" max="6" width="19.6328125" bestFit="1" customWidth="1"/>
  </cols>
  <sheetData>
    <row r="1" spans="1:6" x14ac:dyDescent="0.35">
      <c r="A1" t="s">
        <v>15</v>
      </c>
      <c r="B1" t="s">
        <v>16</v>
      </c>
      <c r="C1" t="s">
        <v>6</v>
      </c>
      <c r="D1" t="s">
        <v>17</v>
      </c>
      <c r="E1" t="s">
        <v>18</v>
      </c>
      <c r="F1" t="s">
        <v>14</v>
      </c>
    </row>
    <row r="2" spans="1:6" x14ac:dyDescent="0.35">
      <c r="A2" s="2" t="s">
        <v>19</v>
      </c>
      <c r="B2">
        <v>1200</v>
      </c>
      <c r="C2">
        <v>5.08</v>
      </c>
      <c r="D2">
        <v>100</v>
      </c>
      <c r="E2">
        <v>0</v>
      </c>
      <c r="F2">
        <v>0</v>
      </c>
    </row>
    <row r="3" spans="1:6" x14ac:dyDescent="0.35">
      <c r="A3" s="2" t="s">
        <v>20</v>
      </c>
      <c r="B3">
        <v>1200</v>
      </c>
      <c r="C3">
        <v>5.08</v>
      </c>
      <c r="D3">
        <v>100</v>
      </c>
      <c r="E3">
        <v>0</v>
      </c>
      <c r="F3">
        <v>0</v>
      </c>
    </row>
    <row r="4" spans="1:6" x14ac:dyDescent="0.35">
      <c r="A4" s="2" t="s">
        <v>21</v>
      </c>
      <c r="B4">
        <v>1200</v>
      </c>
      <c r="C4">
        <v>5.08</v>
      </c>
      <c r="D4">
        <v>100</v>
      </c>
      <c r="E4">
        <v>0</v>
      </c>
      <c r="F4">
        <v>0</v>
      </c>
    </row>
    <row r="5" spans="1:6" x14ac:dyDescent="0.35">
      <c r="A5" s="2" t="s">
        <v>22</v>
      </c>
      <c r="B5">
        <v>1000</v>
      </c>
      <c r="C5">
        <v>5.33</v>
      </c>
      <c r="D5">
        <v>91.7</v>
      </c>
      <c r="E5">
        <v>0.08</v>
      </c>
      <c r="F5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1B26-9A90-4D6F-8D5A-AC4DCF12C2D8}">
  <dimension ref="A1:G14"/>
  <sheetViews>
    <sheetView workbookViewId="0">
      <selection activeCell="B1" activeCellId="1" sqref="A1:A1048576 B1:B1048576"/>
    </sheetView>
  </sheetViews>
  <sheetFormatPr defaultRowHeight="14.5" x14ac:dyDescent="0.35"/>
  <cols>
    <col min="1" max="1" width="13.1796875" bestFit="1" customWidth="1"/>
    <col min="2" max="2" width="14.90625" bestFit="1" customWidth="1"/>
    <col min="3" max="3" width="17.54296875" bestFit="1" customWidth="1"/>
    <col min="4" max="4" width="22.36328125" bestFit="1" customWidth="1"/>
    <col min="5" max="5" width="24.453125" bestFit="1" customWidth="1"/>
    <col min="6" max="6" width="18.1796875" bestFit="1" customWidth="1"/>
    <col min="7" max="7" width="19.6328125" bestFit="1" customWidth="1"/>
  </cols>
  <sheetData>
    <row r="1" spans="1:7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6</v>
      </c>
      <c r="G1" t="s">
        <v>14</v>
      </c>
    </row>
    <row r="2" spans="1:7" x14ac:dyDescent="0.35">
      <c r="A2" s="1">
        <v>45658</v>
      </c>
      <c r="B2">
        <v>403</v>
      </c>
      <c r="C2">
        <v>20</v>
      </c>
      <c r="D2">
        <v>10</v>
      </c>
      <c r="E2">
        <v>373</v>
      </c>
      <c r="F2">
        <v>5.12</v>
      </c>
      <c r="G2">
        <v>7</v>
      </c>
    </row>
    <row r="3" spans="1:7" x14ac:dyDescent="0.35">
      <c r="A3" s="1">
        <v>45689</v>
      </c>
      <c r="B3">
        <v>364</v>
      </c>
      <c r="C3">
        <v>19</v>
      </c>
      <c r="D3">
        <v>8</v>
      </c>
      <c r="E3">
        <v>337</v>
      </c>
      <c r="F3">
        <v>5.12</v>
      </c>
      <c r="G3">
        <v>6</v>
      </c>
    </row>
    <row r="4" spans="1:7" x14ac:dyDescent="0.35">
      <c r="A4" s="1">
        <v>45717</v>
      </c>
      <c r="B4">
        <v>374</v>
      </c>
      <c r="C4">
        <v>19</v>
      </c>
      <c r="D4">
        <v>14</v>
      </c>
      <c r="E4">
        <v>341</v>
      </c>
      <c r="F4">
        <v>5.15</v>
      </c>
      <c r="G4">
        <v>7</v>
      </c>
    </row>
    <row r="5" spans="1:7" x14ac:dyDescent="0.35">
      <c r="A5" s="1">
        <v>45748</v>
      </c>
      <c r="B5">
        <v>360</v>
      </c>
      <c r="C5">
        <v>18</v>
      </c>
      <c r="D5">
        <v>13</v>
      </c>
      <c r="E5">
        <v>329</v>
      </c>
      <c r="F5">
        <v>5.16</v>
      </c>
      <c r="G5">
        <v>5</v>
      </c>
    </row>
    <row r="6" spans="1:7" x14ac:dyDescent="0.35">
      <c r="A6" s="1">
        <v>45778</v>
      </c>
      <c r="B6">
        <v>372</v>
      </c>
      <c r="C6">
        <v>18</v>
      </c>
      <c r="D6">
        <v>7</v>
      </c>
      <c r="E6">
        <v>347</v>
      </c>
      <c r="F6">
        <v>5.1100000000000003</v>
      </c>
      <c r="G6">
        <v>7</v>
      </c>
    </row>
    <row r="7" spans="1:7" x14ac:dyDescent="0.35">
      <c r="A7" s="1">
        <v>45809</v>
      </c>
      <c r="B7">
        <v>360</v>
      </c>
      <c r="C7">
        <v>20</v>
      </c>
      <c r="D7">
        <v>12</v>
      </c>
      <c r="E7">
        <v>328</v>
      </c>
      <c r="F7">
        <v>5.15</v>
      </c>
      <c r="G7">
        <v>7</v>
      </c>
    </row>
    <row r="8" spans="1:7" x14ac:dyDescent="0.35">
      <c r="A8" s="1">
        <v>45839</v>
      </c>
      <c r="B8">
        <v>375</v>
      </c>
      <c r="C8">
        <v>16</v>
      </c>
      <c r="D8">
        <v>15</v>
      </c>
      <c r="E8">
        <v>344</v>
      </c>
      <c r="F8">
        <v>5.16</v>
      </c>
      <c r="G8">
        <v>5</v>
      </c>
    </row>
    <row r="9" spans="1:7" x14ac:dyDescent="0.35">
      <c r="A9" s="1">
        <v>45870</v>
      </c>
      <c r="B9">
        <v>403</v>
      </c>
      <c r="C9">
        <v>21</v>
      </c>
      <c r="D9">
        <v>8</v>
      </c>
      <c r="E9">
        <v>374</v>
      </c>
      <c r="F9">
        <v>5.1100000000000003</v>
      </c>
      <c r="G9">
        <v>7</v>
      </c>
    </row>
    <row r="10" spans="1:7" x14ac:dyDescent="0.35">
      <c r="A10" s="1">
        <v>45901</v>
      </c>
      <c r="B10">
        <v>390</v>
      </c>
      <c r="C10">
        <v>21</v>
      </c>
      <c r="D10">
        <v>11</v>
      </c>
      <c r="E10">
        <v>358</v>
      </c>
      <c r="F10">
        <v>5.15</v>
      </c>
      <c r="G10">
        <v>6</v>
      </c>
    </row>
    <row r="11" spans="1:7" x14ac:dyDescent="0.35">
      <c r="A11" s="1">
        <v>45931</v>
      </c>
      <c r="B11">
        <v>403</v>
      </c>
      <c r="C11">
        <v>18</v>
      </c>
      <c r="D11">
        <v>17</v>
      </c>
      <c r="E11">
        <v>368</v>
      </c>
      <c r="F11">
        <v>5.14</v>
      </c>
      <c r="G11">
        <v>7</v>
      </c>
    </row>
    <row r="12" spans="1:7" x14ac:dyDescent="0.35">
      <c r="A12" s="1">
        <v>45962</v>
      </c>
      <c r="B12">
        <v>390</v>
      </c>
      <c r="C12">
        <v>21</v>
      </c>
      <c r="D12">
        <v>9</v>
      </c>
      <c r="E12">
        <v>360</v>
      </c>
      <c r="F12">
        <v>5.14</v>
      </c>
      <c r="G12">
        <v>6</v>
      </c>
    </row>
    <row r="13" spans="1:7" x14ac:dyDescent="0.35">
      <c r="A13" s="1">
        <v>45992</v>
      </c>
      <c r="B13">
        <v>403</v>
      </c>
      <c r="C13">
        <v>20</v>
      </c>
      <c r="D13">
        <v>9</v>
      </c>
      <c r="E13">
        <v>374</v>
      </c>
      <c r="F13">
        <v>5.1100000000000003</v>
      </c>
      <c r="G13">
        <v>7</v>
      </c>
    </row>
    <row r="14" spans="1:7" x14ac:dyDescent="0.35">
      <c r="A14" s="1">
        <v>46023</v>
      </c>
      <c r="B14">
        <v>403</v>
      </c>
      <c r="C14">
        <v>19</v>
      </c>
      <c r="D14">
        <v>17</v>
      </c>
      <c r="E14">
        <v>367</v>
      </c>
      <c r="F14">
        <v>5.18</v>
      </c>
      <c r="G14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0336-7172-4A18-973A-CED66F5D1773}">
  <dimension ref="A1:C5"/>
  <sheetViews>
    <sheetView workbookViewId="0">
      <selection activeCell="B1" activeCellId="1" sqref="A1:A1048576 B1:B1048576"/>
    </sheetView>
  </sheetViews>
  <sheetFormatPr defaultRowHeight="14.5" x14ac:dyDescent="0.35"/>
  <cols>
    <col min="1" max="1" width="28.81640625" bestFit="1" customWidth="1"/>
    <col min="2" max="2" width="11.453125" bestFit="1" customWidth="1"/>
    <col min="3" max="3" width="17.81640625" bestFit="1" customWidth="1"/>
  </cols>
  <sheetData>
    <row r="1" spans="1:3" x14ac:dyDescent="0.35">
      <c r="A1" t="s">
        <v>23</v>
      </c>
      <c r="B1" t="s">
        <v>24</v>
      </c>
      <c r="C1" t="s">
        <v>25</v>
      </c>
    </row>
    <row r="2" spans="1:3" x14ac:dyDescent="0.35">
      <c r="A2" s="2" t="s">
        <v>26</v>
      </c>
      <c r="B2">
        <v>62.34</v>
      </c>
      <c r="C2">
        <v>4600</v>
      </c>
    </row>
    <row r="3" spans="1:3" x14ac:dyDescent="0.35">
      <c r="A3" s="2" t="s">
        <v>27</v>
      </c>
      <c r="B3">
        <v>24</v>
      </c>
      <c r="C3">
        <v>4600</v>
      </c>
    </row>
    <row r="4" spans="1:3" x14ac:dyDescent="0.35">
      <c r="A4" s="2" t="s">
        <v>28</v>
      </c>
      <c r="B4">
        <v>23</v>
      </c>
      <c r="C4">
        <v>4600</v>
      </c>
    </row>
    <row r="5" spans="1:3" x14ac:dyDescent="0.35">
      <c r="A5" s="2" t="s">
        <v>29</v>
      </c>
      <c r="B5">
        <v>8</v>
      </c>
      <c r="C5">
        <v>4600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A7D7-4AE9-491F-86D1-E8DB192E3E73}">
  <dimension ref="A1:I2"/>
  <sheetViews>
    <sheetView topLeftCell="E1" workbookViewId="0">
      <selection activeCell="E2" sqref="E2"/>
    </sheetView>
  </sheetViews>
  <sheetFormatPr defaultRowHeight="14.5" x14ac:dyDescent="0.35"/>
  <cols>
    <col min="1" max="1" width="13" bestFit="1" customWidth="1"/>
    <col min="2" max="2" width="17.90625" bestFit="1" customWidth="1"/>
    <col min="3" max="3" width="16.453125" bestFit="1" customWidth="1"/>
    <col min="4" max="4" width="16.08984375" bestFit="1" customWidth="1"/>
    <col min="5" max="5" width="26" bestFit="1" customWidth="1"/>
    <col min="6" max="6" width="16.7265625" bestFit="1" customWidth="1"/>
    <col min="7" max="7" width="18.1796875" bestFit="1" customWidth="1"/>
    <col min="8" max="8" width="21" bestFit="1" customWidth="1"/>
    <col min="9" max="9" width="23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5000</v>
      </c>
      <c r="B2">
        <v>4750</v>
      </c>
      <c r="C2">
        <v>5</v>
      </c>
      <c r="D2">
        <v>4750</v>
      </c>
      <c r="E2">
        <v>96.84</v>
      </c>
      <c r="F2">
        <v>4600</v>
      </c>
      <c r="G2">
        <v>5.14</v>
      </c>
      <c r="H2">
        <v>98.2</v>
      </c>
      <c r="I2">
        <v>1.8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A944-5803-4B3A-AFAE-AC8B5BAA2DE0}">
  <dimension ref="A1:J47"/>
  <sheetViews>
    <sheetView tabSelected="1" topLeftCell="A3" workbookViewId="0">
      <selection activeCell="B18" sqref="B18"/>
    </sheetView>
  </sheetViews>
  <sheetFormatPr defaultRowHeight="14.5" x14ac:dyDescent="0.35"/>
  <cols>
    <col min="2" max="2" width="18.26953125" customWidth="1"/>
    <col min="4" max="4" width="16.81640625" customWidth="1"/>
    <col min="6" max="6" width="16.6328125" customWidth="1"/>
    <col min="8" max="8" width="16.81640625" customWidth="1"/>
  </cols>
  <sheetData>
    <row r="1" spans="1:10" ht="15" thickBot="1" x14ac:dyDescent="0.4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7"/>
      <c r="B2" s="3" t="s">
        <v>30</v>
      </c>
      <c r="C2" s="5"/>
      <c r="D2" s="3" t="s">
        <v>31</v>
      </c>
      <c r="E2" s="5"/>
      <c r="F2" s="3" t="s">
        <v>32</v>
      </c>
      <c r="G2" s="5"/>
      <c r="H2" s="3" t="s">
        <v>33</v>
      </c>
      <c r="I2" s="7"/>
      <c r="J2" s="7"/>
    </row>
    <row r="3" spans="1:10" ht="26.5" thickBot="1" x14ac:dyDescent="0.65">
      <c r="A3" s="7"/>
      <c r="B3" s="4" cm="1">
        <f t="array" ref="B3">KPI_Data[total_orders]</f>
        <v>5000</v>
      </c>
      <c r="C3" s="6"/>
      <c r="D3" s="4" cm="1">
        <f t="array" ref="D3">KPI_Data[payment_success_rate_pct]</f>
        <v>96.84</v>
      </c>
      <c r="E3" s="6"/>
      <c r="F3" s="4" cm="1">
        <f t="array" ref="F3">KPI_Data[avg_delivery_days]</f>
        <v>5.14</v>
      </c>
      <c r="G3" s="6"/>
      <c r="H3" s="4" cm="1">
        <f t="array" ref="H3">KPI_Data[on_time_delivery_pct]</f>
        <v>98.2</v>
      </c>
      <c r="I3" s="7"/>
      <c r="J3" s="7"/>
    </row>
    <row r="4" spans="1:10" x14ac:dyDescent="0.3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3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3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3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3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9490B-0670-4867-81E4-E8FD2996A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Carrier_Performance</vt:lpstr>
      <vt:lpstr>Monthly_Trends</vt:lpstr>
      <vt:lpstr>Stage_Cycle_Time</vt:lpstr>
      <vt:lpstr>KPI_Data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Katna</dc:creator>
  <cp:lastModifiedBy>Rishika Katna</cp:lastModifiedBy>
  <cp:lastPrinted>2026-02-10T22:11:53Z</cp:lastPrinted>
  <dcterms:created xsi:type="dcterms:W3CDTF">2026-02-10T20:56:47Z</dcterms:created>
  <dcterms:modified xsi:type="dcterms:W3CDTF">2026-02-10T22:29:27Z</dcterms:modified>
</cp:coreProperties>
</file>